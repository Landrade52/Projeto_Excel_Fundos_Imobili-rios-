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9cf9cfa209a119/Documents/CURSO DE EXCEL/"/>
    </mc:Choice>
  </mc:AlternateContent>
  <xr:revisionPtr revIDLastSave="0" documentId="8_{74667220-C895-4134-B123-5B1C0BF6AFF7}" xr6:coauthVersionLast="47" xr6:coauthVersionMax="47" xr10:uidLastSave="{00000000-0000-0000-0000-000000000000}"/>
  <bookViews>
    <workbookView xWindow="-120" yWindow="-120" windowWidth="20730" windowHeight="11040" tabRatio="352" xr2:uid="{C0958D1F-D490-48A0-AE5A-70E60E29194C}"/>
  </bookViews>
  <sheets>
    <sheet name="Planilha1" sheetId="1" r:id="rId1"/>
    <sheet name="Planilha2" sheetId="2" r:id="rId2"/>
  </sheets>
  <definedNames>
    <definedName name="aporte">Planilha1!$D$17</definedName>
    <definedName name="patrimonio">Planilha1!$D$20</definedName>
    <definedName name="qtd_anos">Planilha1!$D$18</definedName>
    <definedName name="rendimento_carteira">Planilha1!$D$13</definedName>
    <definedName name="taxa_mensal">Planilha1!$D$19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C36" i="1"/>
  <c r="C37" i="1"/>
  <c r="C38" i="1"/>
  <c r="C39" i="1"/>
  <c r="C40" i="1"/>
  <c r="A9" i="2" l="1"/>
  <c r="A20" i="2"/>
  <c r="A19" i="2"/>
  <c r="A18" i="2"/>
  <c r="A17" i="2"/>
  <c r="A16" i="2"/>
  <c r="A15" i="2"/>
  <c r="A14" i="2"/>
  <c r="A13" i="2"/>
  <c r="A12" i="2"/>
  <c r="A11" i="2"/>
  <c r="A10" i="2"/>
  <c r="A8" i="2"/>
  <c r="A7" i="2"/>
  <c r="A6" i="2"/>
  <c r="A5" i="2"/>
  <c r="A4" i="2"/>
  <c r="A3" i="2"/>
  <c r="C32" i="1"/>
  <c r="D38" i="1" l="1"/>
  <c r="D36" i="1"/>
  <c r="D37" i="1"/>
  <c r="D35" i="1"/>
  <c r="D40" i="1"/>
  <c r="D39" i="1"/>
  <c r="H4" i="2"/>
  <c r="D41" i="1" l="1"/>
  <c r="C25" i="1"/>
  <c r="D25" i="1" s="1"/>
  <c r="C26" i="1"/>
  <c r="D26" i="1" s="1"/>
  <c r="C27" i="1"/>
  <c r="D27" i="1" s="1"/>
  <c r="C28" i="1"/>
  <c r="D28" i="1" s="1"/>
  <c r="C24" i="1"/>
  <c r="D24" i="1" s="1"/>
  <c r="D14" i="1"/>
  <c r="D20" i="1"/>
  <c r="D21" i="1" s="1"/>
</calcChain>
</file>

<file path=xl/sharedStrings.xml><?xml version="1.0" encoding="utf-8"?>
<sst xmlns="http://schemas.openxmlformats.org/spreadsheetml/2006/main" count="71" uniqueCount="35">
  <si>
    <t>INVESTIMENTO MENSAL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</si>
  <si>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</si>
  <si>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</si>
  <si>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</si>
  <si>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</si>
  <si>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</si>
  <si>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</si>
  <si>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</si>
  <si>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Quanto investir por mês ?</t>
  </si>
  <si>
    <t>Por Quantos Anos ?</t>
  </si>
  <si>
    <t>Taxa de Rendimento mensal ?</t>
  </si>
  <si>
    <t>Patrimônio acumulado ?</t>
  </si>
  <si>
    <t>Dividendos Mensais ?</t>
  </si>
  <si>
    <t>CONFIGURAÇÕES</t>
  </si>
  <si>
    <t>Salário</t>
  </si>
  <si>
    <t>Rendimento Carteira</t>
  </si>
  <si>
    <t>Sugestão de Investimento (30%)</t>
  </si>
  <si>
    <t>PERFIL</t>
  </si>
  <si>
    <t>Moderado</t>
  </si>
  <si>
    <t>Agressivo</t>
  </si>
  <si>
    <t>VALOR A SER INVESTIDO POR MÊS</t>
  </si>
  <si>
    <t>TIPO DE FII</t>
  </si>
  <si>
    <t>Percentual Sugerido</t>
  </si>
  <si>
    <t>Valores</t>
  </si>
  <si>
    <t>TIJOLO</t>
  </si>
  <si>
    <t>HÍBRIDOS</t>
  </si>
  <si>
    <t>FOFS</t>
  </si>
  <si>
    <t>DESENVOLVIMENTO</t>
  </si>
  <si>
    <t>HOTELARIAS</t>
  </si>
  <si>
    <t>CHAVE</t>
  </si>
  <si>
    <t>%</t>
  </si>
  <si>
    <t>PAPEL</t>
  </si>
  <si>
    <t>FOFs</t>
  </si>
  <si>
    <t>Conservador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</si>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</sst>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8" x14ac:knownFonts="1">
    <font>
      <sz val="11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Segoe UI Semibold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2"/>
      <color theme="0"/>
      <name val="Segoe UI Semibold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1E8449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hair">
        <color theme="0" tint="-0.14996795556505021"/>
      </left>
      <right/>
      <top style="medium">
        <color theme="1"/>
      </top>
      <bottom/>
      <diagonal/>
    </border>
    <border>
      <left style="hair">
        <color theme="0" tint="-0.14996795556505021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/>
      <top style="hair">
        <color theme="0" tint="-0.14996795556505021"/>
      </top>
      <bottom/>
      <diagonal/>
    </border>
    <border>
      <left style="hair">
        <color theme="0" tint="-0.14996795556505021"/>
      </left>
      <right/>
      <top style="hair">
        <color theme="0" tint="-0.14996795556505021"/>
      </top>
      <bottom/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/>
      <diagonal/>
    </border>
    <border>
      <left style="medium">
        <color indexed="64"/>
      </left>
      <right/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/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4" borderId="0" applyNumberFormat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3" fillId="0" borderId="0" xfId="0" applyFont="1"/>
    <xf numFmtId="0" fontId="12" fillId="4" borderId="0" xfId="3"/>
    <xf numFmtId="0" fontId="13" fillId="2" borderId="0" xfId="0" applyFont="1" applyFill="1"/>
    <xf numFmtId="164" fontId="13" fillId="2" borderId="0" xfId="1" applyNumberFormat="1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0" applyNumberFormat="1"/>
    <xf numFmtId="0" fontId="0" fillId="5" borderId="0" xfId="0" applyFill="1"/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/>
    <xf numFmtId="9" fontId="12" fillId="4" borderId="0" xfId="2" applyFont="1" applyFill="1"/>
    <xf numFmtId="9" fontId="0" fillId="0" borderId="0" xfId="0" applyNumberFormat="1" applyAlignment="1">
      <alignment horizontal="center"/>
    </xf>
    <xf numFmtId="9" fontId="0" fillId="0" borderId="13" xfId="0" applyNumberFormat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9" fontId="0" fillId="7" borderId="0" xfId="0" applyNumberFormat="1" applyFill="1" applyAlignment="1">
      <alignment horizontal="center"/>
    </xf>
    <xf numFmtId="0" fontId="10" fillId="8" borderId="1" xfId="0" applyFont="1" applyFill="1" applyBorder="1" applyAlignment="1">
      <alignment horizontal="right" vertical="center"/>
    </xf>
    <xf numFmtId="0" fontId="11" fillId="8" borderId="3" xfId="0" applyFont="1" applyFill="1" applyBorder="1" applyAlignment="1">
      <alignment horizontal="right"/>
    </xf>
    <xf numFmtId="0" fontId="10" fillId="8" borderId="2" xfId="0" applyFont="1" applyFill="1" applyBorder="1" applyAlignment="1">
      <alignment horizontal="right" vertical="center"/>
    </xf>
    <xf numFmtId="164" fontId="8" fillId="9" borderId="12" xfId="0" applyNumberFormat="1" applyFont="1" applyFill="1" applyBorder="1" applyAlignment="1">
      <alignment horizontal="center"/>
    </xf>
    <xf numFmtId="8" fontId="9" fillId="11" borderId="11" xfId="0" applyNumberFormat="1" applyFont="1" applyFill="1" applyBorder="1" applyAlignment="1">
      <alignment horizontal="center"/>
    </xf>
    <xf numFmtId="8" fontId="9" fillId="11" borderId="12" xfId="0" applyNumberFormat="1" applyFont="1" applyFill="1" applyBorder="1" applyAlignment="1">
      <alignment horizontal="center"/>
    </xf>
    <xf numFmtId="0" fontId="15" fillId="0" borderId="0" xfId="0" applyFont="1"/>
    <xf numFmtId="0" fontId="5" fillId="3" borderId="14" xfId="0" applyFont="1" applyFill="1" applyBorder="1" applyAlignment="1">
      <alignment horizontal="left" indent="3"/>
    </xf>
    <xf numFmtId="164" fontId="8" fillId="3" borderId="15" xfId="0" applyNumberFormat="1" applyFont="1" applyFill="1" applyBorder="1" applyAlignment="1">
      <alignment horizontal="right"/>
    </xf>
    <xf numFmtId="164" fontId="8" fillId="3" borderId="16" xfId="0" applyNumberFormat="1" applyFont="1" applyFill="1" applyBorder="1" applyAlignment="1">
      <alignment horizontal="right"/>
    </xf>
    <xf numFmtId="0" fontId="5" fillId="3" borderId="17" xfId="0" applyFont="1" applyFill="1" applyBorder="1" applyAlignment="1">
      <alignment horizontal="left" indent="3"/>
    </xf>
    <xf numFmtId="164" fontId="8" fillId="3" borderId="18" xfId="0" applyNumberFormat="1" applyFont="1" applyFill="1" applyBorder="1" applyAlignment="1">
      <alignment horizontal="right"/>
    </xf>
    <xf numFmtId="164" fontId="8" fillId="3" borderId="19" xfId="0" applyNumberFormat="1" applyFont="1" applyFill="1" applyBorder="1" applyAlignment="1">
      <alignment horizontal="right"/>
    </xf>
    <xf numFmtId="0" fontId="5" fillId="3" borderId="20" xfId="0" applyFont="1" applyFill="1" applyBorder="1" applyAlignment="1">
      <alignment horizontal="left" indent="3"/>
    </xf>
    <xf numFmtId="164" fontId="8" fillId="3" borderId="21" xfId="0" applyNumberFormat="1" applyFont="1" applyFill="1" applyBorder="1" applyAlignment="1">
      <alignment horizontal="right"/>
    </xf>
    <xf numFmtId="164" fontId="8" fillId="3" borderId="22" xfId="0" applyNumberFormat="1" applyFont="1" applyFill="1" applyBorder="1" applyAlignment="1">
      <alignment horizontal="right"/>
    </xf>
    <xf numFmtId="0" fontId="14" fillId="11" borderId="0" xfId="0" applyFont="1" applyFill="1" applyAlignment="1">
      <alignment horizontal="center"/>
    </xf>
    <xf numFmtId="164" fontId="16" fillId="0" borderId="0" xfId="0" applyNumberFormat="1" applyFont="1"/>
    <xf numFmtId="164" fontId="17" fillId="5" borderId="0" xfId="0" applyNumberFormat="1" applyFont="1" applyFill="1"/>
    <xf numFmtId="0" fontId="4" fillId="11" borderId="1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164" fontId="9" fillId="12" borderId="10" xfId="0" applyNumberFormat="1" applyFont="1" applyFill="1" applyBorder="1" applyAlignment="1">
      <alignment horizontal="center"/>
    </xf>
    <xf numFmtId="0" fontId="9" fillId="12" borderId="11" xfId="0" applyFont="1" applyFill="1" applyBorder="1" applyAlignment="1">
      <alignment horizontal="center"/>
    </xf>
    <xf numFmtId="10" fontId="9" fillId="12" borderId="11" xfId="0" applyNumberFormat="1" applyFont="1" applyFill="1" applyBorder="1" applyAlignment="1">
      <alignment horizontal="center"/>
    </xf>
    <xf numFmtId="164" fontId="8" fillId="12" borderId="10" xfId="1" applyNumberFormat="1" applyFont="1" applyFill="1" applyBorder="1" applyAlignment="1">
      <alignment horizontal="center"/>
    </xf>
    <xf numFmtId="10" fontId="8" fillId="12" borderId="11" xfId="0" applyNumberFormat="1" applyFont="1" applyFill="1" applyBorder="1" applyAlignment="1">
      <alignment horizontal="center"/>
    </xf>
    <xf numFmtId="0" fontId="6" fillId="11" borderId="8" xfId="0" applyFont="1" applyFill="1" applyBorder="1" applyAlignment="1">
      <alignment horizontal="left" indent="3"/>
    </xf>
    <xf numFmtId="0" fontId="6" fillId="11" borderId="9" xfId="0" applyFont="1" applyFill="1" applyBorder="1" applyAlignment="1">
      <alignment horizontal="left" indent="3"/>
    </xf>
    <xf numFmtId="0" fontId="4" fillId="11" borderId="1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left" indent="3"/>
    </xf>
    <xf numFmtId="0" fontId="5" fillId="9" borderId="5" xfId="0" applyFont="1" applyFill="1" applyBorder="1" applyAlignment="1">
      <alignment horizontal="left" indent="3"/>
    </xf>
    <xf numFmtId="0" fontId="5" fillId="9" borderId="6" xfId="0" applyFont="1" applyFill="1" applyBorder="1" applyAlignment="1">
      <alignment horizontal="left" indent="3"/>
    </xf>
    <xf numFmtId="0" fontId="5" fillId="9" borderId="7" xfId="0" applyFont="1" applyFill="1" applyBorder="1" applyAlignment="1">
      <alignment horizontal="left" indent="3"/>
    </xf>
    <xf numFmtId="0" fontId="5" fillId="9" borderId="8" xfId="0" applyFont="1" applyFill="1" applyBorder="1" applyAlignment="1">
      <alignment horizontal="left" indent="3"/>
    </xf>
    <xf numFmtId="0" fontId="5" fillId="9" borderId="9" xfId="0" applyFont="1" applyFill="1" applyBorder="1" applyAlignment="1">
      <alignment horizontal="left" indent="3"/>
    </xf>
    <xf numFmtId="0" fontId="5" fillId="10" borderId="4" xfId="0" applyFont="1" applyFill="1" applyBorder="1" applyAlignment="1">
      <alignment horizontal="left" indent="3"/>
    </xf>
    <xf numFmtId="0" fontId="5" fillId="10" borderId="5" xfId="0" applyFont="1" applyFill="1" applyBorder="1" applyAlignment="1">
      <alignment horizontal="left" indent="3"/>
    </xf>
    <xf numFmtId="0" fontId="5" fillId="10" borderId="6" xfId="0" applyFont="1" applyFill="1" applyBorder="1" applyAlignment="1">
      <alignment horizontal="left" indent="3"/>
    </xf>
    <xf numFmtId="0" fontId="5" fillId="10" borderId="7" xfId="0" applyFont="1" applyFill="1" applyBorder="1" applyAlignment="1">
      <alignment horizontal="left" indent="3"/>
    </xf>
    <xf numFmtId="0" fontId="6" fillId="11" borderId="6" xfId="0" applyFont="1" applyFill="1" applyBorder="1" applyAlignment="1">
      <alignment horizontal="left" indent="3"/>
    </xf>
    <xf numFmtId="0" fontId="6" fillId="11" borderId="7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1E8449"/>
      <color rgb="FFD5F5E3"/>
      <color rgb="FFFFF9C4"/>
      <color rgb="FF0A3D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Planilha1!$C$34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1E-40F2-8EF4-7AF33960AE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1E-40F2-8EF4-7AF33960AE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1E-40F2-8EF4-7AF33960AE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11E-40F2-8EF4-7AF33960AEB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11E-40F2-8EF4-7AF33960AEB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11E-40F2-8EF4-7AF33960AE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Planilha1!$C$35:$C$40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4-4091-8264-C2707D016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571500</xdr:colOff>
      <xdr:row>0</xdr:row>
      <xdr:rowOff>171450</xdr:rowOff>
    </xdr:from>
    <xdr:to>
      <xdr:col>4</xdr:col>
      <xdr:colOff>38100</xdr:colOff>
      <xdr:row>9</xdr:row>
      <xdr:rowOff>13155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69DF250-1599-4E5C-B68E-21280ECB8B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duotone>
            <a:prstClr val="black"/>
            <a:schemeClr val="accent4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Cutout/>
                  </a14:imgEffect>
                  <a14:imgEffect>
                    <a14:saturation sat="2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571500" y="171450"/>
          <a:ext cx="6372225" cy="1556205"/>
        </a:xfrm>
        <a:prstGeom prst="rect">
          <a:avLst/>
        </a:prstGeom>
      </xdr:spPr>
    </xdr:pic>
    <xdr:clientData/>
  </xdr:twoCellAnchor>
  <xdr:twoCellAnchor>
    <xdr:from>
      <xdr:col>0</xdr:col>
      <xdr:colOff>601807</xdr:colOff>
      <xdr:row>41</xdr:row>
      <xdr:rowOff>178378</xdr:rowOff>
    </xdr:from>
    <xdr:to>
      <xdr:col>3</xdr:col>
      <xdr:colOff>952500</xdr:colOff>
      <xdr:row>56</xdr:row>
      <xdr:rowOff>64078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C206FB8-266F-BF3A-9CB7-B4B0E1144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30F3-97EF-4585-92F3-85647A6F0582}">
  <dimension ref="A10:K42"/>
  <sheetViews>
    <sheetView showGridLines="0" tabSelected="1" zoomScaleNormal="100" workbookViewId="0">
      <selection activeCell="H2" sqref="H2"/>
    </sheetView>
  </sheetViews>
  <sheetFormatPr defaultColWidth="0" defaultRowHeight="15" x14ac:dyDescent="0.25"/>
  <cols>
    <col min="1" max="1" width="9.140625" customWidth="1"/>
    <col min="2" max="2" width="48.7109375" customWidth="1"/>
    <col min="3" max="3" width="30.85546875" bestFit="1" customWidth="1"/>
    <col min="4" max="4" width="14.85546875" bestFit="1" customWidth="1"/>
    <col min="5" max="5" width="9.140625" customWidth="1"/>
    <col min="6" max="6" width="3.140625" customWidth="1"/>
    <col min="7" max="7" width="5.42578125" customWidth="1"/>
    <col min="8" max="8" width="4.7109375" customWidth="1"/>
    <col min="9" max="11" width="9.140625" hidden="1" customWidth="1"/>
  </cols>
  <sheetData>
    <row r="10" spans="2:4" ht="18" thickBot="1" x14ac:dyDescent="0.35">
      <c r="C10" s="1"/>
    </row>
    <row r="11" spans="2:4" ht="26.25" x14ac:dyDescent="0.3">
      <c r="B11" s="20" t="s">
        <v>13</v>
      </c>
      <c r="C11" s="21"/>
      <c r="D11" s="22"/>
    </row>
    <row r="12" spans="2:4" ht="17.25" x14ac:dyDescent="0.3">
      <c r="B12" s="52" t="s">
        <v>14</v>
      </c>
      <c r="C12" s="53"/>
      <c r="D12" s="45">
        <v>2000</v>
      </c>
    </row>
    <row r="13" spans="2:4" ht="17.25" x14ac:dyDescent="0.3">
      <c r="B13" s="54" t="s">
        <v>15</v>
      </c>
      <c r="C13" s="55"/>
      <c r="D13" s="46">
        <v>6.0000000000000001E-3</v>
      </c>
    </row>
    <row r="14" spans="2:4" ht="18" thickBot="1" x14ac:dyDescent="0.35">
      <c r="B14" s="56" t="s">
        <v>16</v>
      </c>
      <c r="C14" s="57"/>
      <c r="D14" s="23">
        <f>D12*30%</f>
        <v>600</v>
      </c>
    </row>
    <row r="15" spans="2:4" ht="15.75" thickBot="1" x14ac:dyDescent="0.3"/>
    <row r="16" spans="2:4" ht="39.75" customHeight="1" x14ac:dyDescent="0.25">
      <c r="B16" s="49" t="s">
        <v>0</v>
      </c>
      <c r="C16" s="50"/>
      <c r="D16" s="51"/>
    </row>
    <row r="17" spans="1:6" ht="17.25" x14ac:dyDescent="0.3">
      <c r="B17" s="58" t="s">
        <v>8</v>
      </c>
      <c r="C17" s="59"/>
      <c r="D17" s="42">
        <v>200</v>
      </c>
    </row>
    <row r="18" spans="1:6" ht="18.75" x14ac:dyDescent="0.3">
      <c r="B18" s="60" t="s">
        <v>9</v>
      </c>
      <c r="C18" s="61"/>
      <c r="D18" s="43">
        <v>5</v>
      </c>
      <c r="F18" s="26"/>
    </row>
    <row r="19" spans="1:6" ht="17.25" x14ac:dyDescent="0.3">
      <c r="B19" s="60" t="s">
        <v>10</v>
      </c>
      <c r="C19" s="61"/>
      <c r="D19" s="44">
        <v>1.0789999999999999E-2</v>
      </c>
    </row>
    <row r="20" spans="1:6" ht="17.25" x14ac:dyDescent="0.3">
      <c r="B20" s="62" t="s">
        <v>11</v>
      </c>
      <c r="C20" s="63"/>
      <c r="D20" s="24">
        <f>FV(taxa_mensal,qtd_anos*12,aporte*-1)</f>
        <v>16755.382799697527</v>
      </c>
    </row>
    <row r="21" spans="1:6" ht="18" thickBot="1" x14ac:dyDescent="0.35">
      <c r="B21" s="47" t="s">
        <v>12</v>
      </c>
      <c r="C21" s="48"/>
      <c r="D21" s="25">
        <f>patrimonio*rendimento_carteira</f>
        <v>100.53229679818516</v>
      </c>
    </row>
    <row r="22" spans="1:6" ht="15.75" thickBot="1" x14ac:dyDescent="0.3"/>
    <row r="23" spans="1:6" ht="31.5" thickBot="1" x14ac:dyDescent="0.3">
      <c r="B23" s="39" t="s">
        <v>1</v>
      </c>
      <c r="C23" s="40"/>
      <c r="D23" s="41" t="s">
        <v>2</v>
      </c>
    </row>
    <row r="24" spans="1:6" ht="17.25" x14ac:dyDescent="0.3">
      <c r="A24" s="2">
        <v>2</v>
      </c>
      <c r="B24" s="27" t="s">
        <v>3</v>
      </c>
      <c r="C24" s="28">
        <f>FV(taxa_mensal,A24*12,aporte*-1)</f>
        <v>5445.5254595290435</v>
      </c>
      <c r="D24" s="29">
        <f>C24*rendimento_carteira</f>
        <v>32.673152757174265</v>
      </c>
    </row>
    <row r="25" spans="1:6" ht="17.25" x14ac:dyDescent="0.3">
      <c r="A25" s="2">
        <v>5</v>
      </c>
      <c r="B25" s="30" t="s">
        <v>4</v>
      </c>
      <c r="C25" s="31">
        <f>FV(taxa_mensal,A25*12,aporte*-1)</f>
        <v>16755.382799697527</v>
      </c>
      <c r="D25" s="32">
        <f>C25*rendimento_carteira</f>
        <v>100.53229679818516</v>
      </c>
    </row>
    <row r="26" spans="1:6" ht="17.25" x14ac:dyDescent="0.3">
      <c r="A26" s="2">
        <v>10</v>
      </c>
      <c r="B26" s="30" t="s">
        <v>5</v>
      </c>
      <c r="C26" s="31">
        <f>FV(taxa_mensal,A26*12,aporte*-1)</f>
        <v>48656.842506034438</v>
      </c>
      <c r="D26" s="32">
        <f>C26*rendimento_carteira</f>
        <v>291.94105503620665</v>
      </c>
    </row>
    <row r="27" spans="1:6" ht="17.25" x14ac:dyDescent="0.3">
      <c r="A27" s="2">
        <v>20</v>
      </c>
      <c r="B27" s="30" t="s">
        <v>6</v>
      </c>
      <c r="C27" s="31">
        <f>FV(taxa_mensal,A27*12,aporte*-1)</f>
        <v>225039.68001941612</v>
      </c>
      <c r="D27" s="32">
        <f>C27*rendimento_carteira</f>
        <v>1350.2380801164968</v>
      </c>
    </row>
    <row r="28" spans="1:6" ht="18" thickBot="1" x14ac:dyDescent="0.35">
      <c r="A28" s="2">
        <v>30</v>
      </c>
      <c r="B28" s="33" t="s">
        <v>7</v>
      </c>
      <c r="C28" s="34">
        <f>FV(taxa_mensal,A28*12,aporte*-1)</f>
        <v>864433.93100094295</v>
      </c>
      <c r="D28" s="35">
        <f>C28*rendimento_carteira</f>
        <v>5186.6035860056581</v>
      </c>
    </row>
    <row r="31" spans="1:6" ht="18" customHeight="1" x14ac:dyDescent="0.25">
      <c r="B31" s="3" t="s">
        <v>17</v>
      </c>
      <c r="C31" s="3" t="s">
        <v>33</v>
      </c>
      <c r="D31" s="3"/>
    </row>
    <row r="32" spans="1:6" x14ac:dyDescent="0.25">
      <c r="B32" s="4" t="s">
        <v>20</v>
      </c>
      <c r="C32" s="5">
        <f>aporte</f>
        <v>200</v>
      </c>
      <c r="D32" s="4"/>
    </row>
    <row r="34" spans="2:4" x14ac:dyDescent="0.25">
      <c r="B34" s="36" t="s">
        <v>21</v>
      </c>
      <c r="C34" s="36" t="s">
        <v>22</v>
      </c>
      <c r="D34" s="36" t="s">
        <v>23</v>
      </c>
    </row>
    <row r="35" spans="2:4" ht="15.75" x14ac:dyDescent="0.25">
      <c r="B35" s="6" t="s">
        <v>31</v>
      </c>
      <c r="C35" s="7">
        <f>VLOOKUP($C$31&amp;"-"&amp;B35,Planilha2!$A:$D,4,FALSE)</f>
        <v>0.3</v>
      </c>
      <c r="D35" s="37">
        <f>C35*$C$32</f>
        <v>60</v>
      </c>
    </row>
    <row r="36" spans="2:4" ht="15.75" x14ac:dyDescent="0.25">
      <c r="B36" s="6" t="s">
        <v>24</v>
      </c>
      <c r="C36" s="7">
        <f>VLOOKUP($C$31&amp;"-"&amp;B36,Planilha2!$A:$D,4,FALSE)</f>
        <v>0.5</v>
      </c>
      <c r="D36" s="37">
        <f t="shared" ref="D36:D40" si="0">C36*$C$32</f>
        <v>100</v>
      </c>
    </row>
    <row r="37" spans="2:4" ht="15.75" x14ac:dyDescent="0.25">
      <c r="B37" s="6" t="s">
        <v>25</v>
      </c>
      <c r="C37" s="7">
        <f>VLOOKUP($C$31&amp;"-"&amp;B37,Planilha2!$A:$D,4,FALSE)</f>
        <v>0.1</v>
      </c>
      <c r="D37" s="37">
        <f t="shared" si="0"/>
        <v>20</v>
      </c>
    </row>
    <row r="38" spans="2:4" ht="15.75" x14ac:dyDescent="0.25">
      <c r="B38" s="6" t="s">
        <v>26</v>
      </c>
      <c r="C38" s="7">
        <f>VLOOKUP($C$31&amp;"-"&amp;B38,Planilha2!$A:$D,4,FALSE)</f>
        <v>0.1</v>
      </c>
      <c r="D38" s="37">
        <f t="shared" si="0"/>
        <v>20</v>
      </c>
    </row>
    <row r="39" spans="2:4" ht="15.75" x14ac:dyDescent="0.25">
      <c r="B39" s="6" t="s">
        <v>27</v>
      </c>
      <c r="C39" s="7">
        <f>VLOOKUP($C$31&amp;"-"&amp;B39,Planilha2!$A:$D,4,FALSE)</f>
        <v>0</v>
      </c>
      <c r="D39" s="37">
        <f t="shared" si="0"/>
        <v>0</v>
      </c>
    </row>
    <row r="40" spans="2:4" ht="15.75" x14ac:dyDescent="0.25">
      <c r="B40" s="6" t="s">
        <v>28</v>
      </c>
      <c r="C40" s="7">
        <f>VLOOKUP($C$31&amp;"-"&amp;B40,Planilha2!$A:$D,4,FALSE)</f>
        <v>0</v>
      </c>
      <c r="D40" s="37">
        <f t="shared" si="0"/>
        <v>0</v>
      </c>
    </row>
    <row r="41" spans="2:4" ht="15.75" x14ac:dyDescent="0.25">
      <c r="B41" s="9"/>
      <c r="C41" s="9"/>
      <c r="D41" s="38">
        <f>SUM(D35:D40)</f>
        <v>200</v>
      </c>
    </row>
    <row r="42" spans="2:4" x14ac:dyDescent="0.25">
      <c r="D42" s="8"/>
    </row>
  </sheetData>
  <mergeCells count="9">
    <mergeCell ref="B21:C21"/>
    <mergeCell ref="B16:D16"/>
    <mergeCell ref="B12:C12"/>
    <mergeCell ref="B13:C13"/>
    <mergeCell ref="B14:C14"/>
    <mergeCell ref="B17:C17"/>
    <mergeCell ref="B18:C18"/>
    <mergeCell ref="B19:C19"/>
    <mergeCell ref="B20:C20"/>
  </mergeCells>
  <dataValidations count="1">
    <dataValidation type="list" allowBlank="1" showInputMessage="1" showErrorMessage="1" sqref="C31" xr:uid="{CFC6D19A-48C7-4D73-BDF0-38561B879B50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18AB2-AEED-4EC1-A5A5-B8F4FC71D2C8}">
  <dimension ref="A2:H20"/>
  <sheetViews>
    <sheetView zoomScale="110" zoomScaleNormal="110" workbookViewId="0">
      <selection activeCell="A3" sqref="A3"/>
    </sheetView>
  </sheetViews>
  <sheetFormatPr defaultRowHeight="15" x14ac:dyDescent="0.25"/>
  <cols>
    <col min="1" max="1" width="25.28515625" customWidth="1"/>
    <col min="2" max="2" width="12.140625" bestFit="1" customWidth="1"/>
    <col min="3" max="3" width="18.5703125" bestFit="1" customWidth="1"/>
    <col min="4" max="4" width="6.5703125" bestFit="1" customWidth="1"/>
    <col min="7" max="7" width="16.85546875" bestFit="1" customWidth="1"/>
  </cols>
  <sheetData>
    <row r="2" spans="1:8" x14ac:dyDescent="0.25">
      <c r="A2" s="10" t="s">
        <v>29</v>
      </c>
      <c r="B2" s="10" t="s">
        <v>17</v>
      </c>
      <c r="C2" s="11" t="s">
        <v>21</v>
      </c>
      <c r="D2" s="11" t="s">
        <v>30</v>
      </c>
    </row>
    <row r="3" spans="1:8" x14ac:dyDescent="0.25">
      <c r="A3" t="str">
        <f>B3&amp;"-"&amp;C3</f>
        <v>Conservador-PAPEL</v>
      </c>
      <c r="B3" t="s">
        <v>33</v>
      </c>
      <c r="C3" s="6" t="s">
        <v>31</v>
      </c>
      <c r="D3" s="15">
        <v>0.3</v>
      </c>
      <c r="H3" t="s">
        <v>30</v>
      </c>
    </row>
    <row r="4" spans="1:8" x14ac:dyDescent="0.25">
      <c r="A4" t="str">
        <f t="shared" ref="A4:A20" si="0">B4&amp;"-"&amp;C4</f>
        <v>Conservador-TIJOLO</v>
      </c>
      <c r="B4" t="s">
        <v>33</v>
      </c>
      <c r="C4" s="6" t="s">
        <v>24</v>
      </c>
      <c r="D4" s="15">
        <v>0.5</v>
      </c>
      <c r="G4" s="3" t="s">
        <v>34</v>
      </c>
      <c r="H4" s="14">
        <f>VLOOKUP(G4,A:D,4,0)</f>
        <v>0.35</v>
      </c>
    </row>
    <row r="5" spans="1:8" x14ac:dyDescent="0.25">
      <c r="A5" t="str">
        <f t="shared" si="0"/>
        <v>Conservador-HÍBRIDOS</v>
      </c>
      <c r="B5" t="s">
        <v>33</v>
      </c>
      <c r="C5" s="6" t="s">
        <v>25</v>
      </c>
      <c r="D5" s="15">
        <v>0.1</v>
      </c>
    </row>
    <row r="6" spans="1:8" x14ac:dyDescent="0.25">
      <c r="A6" t="str">
        <f t="shared" si="0"/>
        <v>Conservador-FOFs</v>
      </c>
      <c r="B6" t="s">
        <v>33</v>
      </c>
      <c r="C6" s="6" t="s">
        <v>32</v>
      </c>
      <c r="D6" s="15">
        <v>0.1</v>
      </c>
    </row>
    <row r="7" spans="1:8" x14ac:dyDescent="0.25">
      <c r="A7" t="str">
        <f t="shared" si="0"/>
        <v>Conservador-DESENVOLVIMENTO</v>
      </c>
      <c r="B7" t="s">
        <v>33</v>
      </c>
      <c r="C7" s="6" t="s">
        <v>27</v>
      </c>
      <c r="D7" s="15">
        <v>0</v>
      </c>
    </row>
    <row r="8" spans="1:8" ht="15.75" thickBot="1" x14ac:dyDescent="0.3">
      <c r="A8" s="13" t="str">
        <f t="shared" si="0"/>
        <v>Conservador-HOTELARIAS</v>
      </c>
      <c r="B8" s="13" t="s">
        <v>33</v>
      </c>
      <c r="C8" s="12" t="s">
        <v>28</v>
      </c>
      <c r="D8" s="16">
        <v>0</v>
      </c>
    </row>
    <row r="9" spans="1:8" x14ac:dyDescent="0.25">
      <c r="A9" t="str">
        <f>B9&amp;"-"&amp;C9</f>
        <v>Moderado-PAPEL</v>
      </c>
      <c r="B9" t="s">
        <v>18</v>
      </c>
      <c r="C9" s="6" t="s">
        <v>31</v>
      </c>
      <c r="D9" s="15">
        <v>0.32</v>
      </c>
    </row>
    <row r="10" spans="1:8" x14ac:dyDescent="0.25">
      <c r="A10" s="17" t="str">
        <f t="shared" si="0"/>
        <v>Moderado-TIJOLO</v>
      </c>
      <c r="B10" s="17" t="s">
        <v>18</v>
      </c>
      <c r="C10" s="18" t="s">
        <v>24</v>
      </c>
      <c r="D10" s="19">
        <v>0.35</v>
      </c>
    </row>
    <row r="11" spans="1:8" x14ac:dyDescent="0.25">
      <c r="A11" t="str">
        <f t="shared" si="0"/>
        <v>Moderado-HÍBRIDOS</v>
      </c>
      <c r="B11" t="s">
        <v>18</v>
      </c>
      <c r="C11" s="6" t="s">
        <v>25</v>
      </c>
      <c r="D11" s="15">
        <v>0.08</v>
      </c>
    </row>
    <row r="12" spans="1:8" x14ac:dyDescent="0.25">
      <c r="A12" t="str">
        <f t="shared" si="0"/>
        <v>Moderado-FOFs</v>
      </c>
      <c r="B12" t="s">
        <v>18</v>
      </c>
      <c r="C12" s="6" t="s">
        <v>32</v>
      </c>
      <c r="D12" s="15">
        <v>0.05</v>
      </c>
    </row>
    <row r="13" spans="1:8" x14ac:dyDescent="0.25">
      <c r="A13" t="str">
        <f t="shared" si="0"/>
        <v>Moderado-DESENVOLVIMENTO</v>
      </c>
      <c r="B13" t="s">
        <v>18</v>
      </c>
      <c r="C13" s="6" t="s">
        <v>27</v>
      </c>
      <c r="D13" s="15">
        <v>0.1</v>
      </c>
    </row>
    <row r="14" spans="1:8" ht="15.75" thickBot="1" x14ac:dyDescent="0.3">
      <c r="A14" s="13" t="str">
        <f t="shared" si="0"/>
        <v>Moderado-HOTELARIAS</v>
      </c>
      <c r="B14" s="13" t="s">
        <v>18</v>
      </c>
      <c r="C14" s="12" t="s">
        <v>28</v>
      </c>
      <c r="D14" s="16">
        <v>0.1</v>
      </c>
    </row>
    <row r="15" spans="1:8" x14ac:dyDescent="0.25">
      <c r="A15" t="str">
        <f t="shared" si="0"/>
        <v>Agressivo-PAPEL</v>
      </c>
      <c r="B15" t="s">
        <v>19</v>
      </c>
      <c r="C15" s="6" t="s">
        <v>31</v>
      </c>
      <c r="D15" s="15">
        <v>0.5</v>
      </c>
    </row>
    <row r="16" spans="1:8" x14ac:dyDescent="0.25">
      <c r="A16" t="str">
        <f t="shared" si="0"/>
        <v>Agressivo-TIJOLO</v>
      </c>
      <c r="B16" t="s">
        <v>19</v>
      </c>
      <c r="C16" s="6" t="s">
        <v>24</v>
      </c>
      <c r="D16" s="15">
        <v>0.1</v>
      </c>
    </row>
    <row r="17" spans="1:4" x14ac:dyDescent="0.25">
      <c r="A17" t="str">
        <f t="shared" si="0"/>
        <v>Agressivo-HÍBRIDOS</v>
      </c>
      <c r="B17" t="s">
        <v>19</v>
      </c>
      <c r="C17" s="6" t="s">
        <v>25</v>
      </c>
      <c r="D17" s="15">
        <v>0.05</v>
      </c>
    </row>
    <row r="18" spans="1:4" x14ac:dyDescent="0.25">
      <c r="A18" t="str">
        <f t="shared" si="0"/>
        <v>Agressivo-FOFs</v>
      </c>
      <c r="B18" t="s">
        <v>19</v>
      </c>
      <c r="C18" s="6" t="s">
        <v>32</v>
      </c>
      <c r="D18" s="15">
        <v>0.05</v>
      </c>
    </row>
    <row r="19" spans="1:4" x14ac:dyDescent="0.25">
      <c r="A19" t="str">
        <f t="shared" si="0"/>
        <v>Agressivo-DESENVOLVIMENTO</v>
      </c>
      <c r="B19" t="s">
        <v>19</v>
      </c>
      <c r="C19" s="6" t="s">
        <v>27</v>
      </c>
      <c r="D19" s="15">
        <v>0.2</v>
      </c>
    </row>
    <row r="20" spans="1:4" x14ac:dyDescent="0.25">
      <c r="A20" t="str">
        <f t="shared" si="0"/>
        <v>Agressivo-HOTELARIAS</v>
      </c>
      <c r="B20" t="s">
        <v>19</v>
      </c>
      <c r="C20" s="6" t="s">
        <v>28</v>
      </c>
      <c r="D20" s="1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Planilha1</vt:lpstr>
      <vt:lpstr>Planilha2</vt:lpstr>
      <vt:lpstr>aporte</vt:lpstr>
      <vt:lpstr>patrimonio</vt:lpstr>
      <vt:lpstr>qtd_anos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Andrade</dc:creator>
  <cp:lastModifiedBy>Luciano Andrade</cp:lastModifiedBy>
  <dcterms:created xsi:type="dcterms:W3CDTF">2026-02-10T18:40:44Z</dcterms:created>
  <dcterms:modified xsi:type="dcterms:W3CDTF">2026-02-13T00:47:43Z</dcterms:modified>
</cp:coreProperties>
</file>